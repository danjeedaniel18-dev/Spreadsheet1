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<sst xmlns="http://schemas.openxmlformats.org/spreadsheetml/2006/main" count="122" uniqueCount="88">
  <si>
    <t>Salary Payslip 1</t>
  </si>
  <si>
    <t>Student Report Card</t>
  </si>
  <si>
    <t>BILL CALCULATIONS</t>
  </si>
  <si>
    <t>EMP ID</t>
  </si>
  <si>
    <t>NAME</t>
  </si>
  <si>
    <t>BASIC</t>
  </si>
  <si>
    <t>HRA(10%)</t>
  </si>
  <si>
    <t>RollNo</t>
  </si>
  <si>
    <t>CCA(12%)</t>
  </si>
  <si>
    <t>DA(15%)</t>
  </si>
  <si>
    <t>PF(20%)</t>
  </si>
  <si>
    <t>GROSS SALARY(BASIC+HRA+CCA+DA)</t>
  </si>
  <si>
    <t>IN HAND SALARY/ NET SALARY(GROSS- PF)</t>
  </si>
  <si>
    <t>Name</t>
  </si>
  <si>
    <t>Excel</t>
  </si>
  <si>
    <t>Fruits</t>
  </si>
  <si>
    <t>Python</t>
  </si>
  <si>
    <t>DANJEE</t>
  </si>
  <si>
    <t>SQL</t>
  </si>
  <si>
    <t>ML</t>
  </si>
  <si>
    <t>Gen AI</t>
  </si>
  <si>
    <t>Total Marks</t>
  </si>
  <si>
    <t>Max</t>
  </si>
  <si>
    <t xml:space="preserve">Average </t>
  </si>
  <si>
    <t>Min</t>
  </si>
  <si>
    <t>Results</t>
  </si>
  <si>
    <t>ITEM CODE</t>
  </si>
  <si>
    <t>Grade</t>
  </si>
  <si>
    <t>Ravi</t>
  </si>
  <si>
    <t>cost</t>
  </si>
  <si>
    <t>Marks</t>
  </si>
  <si>
    <t>Apple</t>
  </si>
  <si>
    <t>PRICE</t>
  </si>
  <si>
    <t>QTY</t>
  </si>
  <si>
    <t>CITY</t>
  </si>
  <si>
    <t>USER</t>
  </si>
  <si>
    <t>TOTAL AMOUNT</t>
  </si>
  <si>
    <t>DISCOUNT</t>
  </si>
  <si>
    <t>TOTAL PAID</t>
  </si>
  <si>
    <t xml:space="preserve">if is a condition </t>
  </si>
  <si>
    <t>KIWI</t>
  </si>
  <si>
    <t>COUNTIF is condition with a count</t>
  </si>
  <si>
    <t>Pune</t>
  </si>
  <si>
    <t>Orange</t>
  </si>
  <si>
    <t>Student</t>
  </si>
  <si>
    <t>Salary Payslip 2</t>
  </si>
  <si>
    <t>CITY TYPE</t>
  </si>
  <si>
    <t>HRA if basic is &lt;=5000 then 5% else 10%</t>
  </si>
  <si>
    <t>CCA if metro city give 5% else 10%</t>
  </si>
  <si>
    <t>DA if basic is 5000 give them constant 500 else 12%</t>
  </si>
  <si>
    <t>DANIEL</t>
  </si>
  <si>
    <t>METRO</t>
  </si>
  <si>
    <t>Teja</t>
  </si>
  <si>
    <t>doubt</t>
  </si>
  <si>
    <t>Mumbai</t>
  </si>
  <si>
    <t>Teacher</t>
  </si>
  <si>
    <t>Delhi</t>
  </si>
  <si>
    <t>Staff</t>
  </si>
  <si>
    <t>count functions counts only numbers</t>
  </si>
  <si>
    <t>counta function counts all both number and character</t>
  </si>
  <si>
    <t>if it is a student give 5% if it is a teacher give 10% if it is a staff give 15% disccount how to find that value</t>
  </si>
  <si>
    <t>Attendance</t>
  </si>
  <si>
    <t>AGE</t>
  </si>
  <si>
    <t>Gender</t>
  </si>
  <si>
    <t>Dept</t>
  </si>
  <si>
    <t>Exp</t>
  </si>
  <si>
    <t>EMP</t>
  </si>
  <si>
    <t>p</t>
  </si>
  <si>
    <t>F</t>
  </si>
  <si>
    <t>ADMIN</t>
  </si>
  <si>
    <t>AJAY</t>
  </si>
  <si>
    <t>Sonu</t>
  </si>
  <si>
    <t>M</t>
  </si>
  <si>
    <t>SALES</t>
  </si>
  <si>
    <t>HEMA</t>
  </si>
  <si>
    <t>A</t>
  </si>
  <si>
    <t>MARKETING</t>
  </si>
  <si>
    <t>SRI</t>
  </si>
  <si>
    <t>KRISHNA</t>
  </si>
  <si>
    <t>DANNY</t>
  </si>
  <si>
    <t>NON METRO</t>
  </si>
  <si>
    <t>DAN</t>
  </si>
  <si>
    <t>count how many emp are there in admin dep whoes exp is &gt;=4</t>
  </si>
  <si>
    <t>Salary Payslip 3</t>
  </si>
  <si>
    <t>HRA (10%)</t>
  </si>
  <si>
    <t>No of Leave</t>
  </si>
  <si>
    <t>Leave Amount</t>
  </si>
  <si>
    <t>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</si>
</sst>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60.0"/>
      <color rgb="FF1155CC"/>
      <name val="Arial"/>
      <scheme val="minor"/>
    </font>
    <font>
      <sz val="64.0"/>
      <color rgb="FF45818E"/>
      <name val="Arial"/>
      <scheme val="minor"/>
    </font>
    <font>
      <b/>
      <color theme="1"/>
      <name val="Arial"/>
      <scheme val="minor"/>
    </font>
    <font>
      <sz val="36.0"/>
      <color rgb="FF741B47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5" fontId="5" numFmtId="0" xfId="0" applyAlignment="1" applyFill="1" applyFont="1">
      <alignment horizontal="center" readingOrder="0"/>
    </xf>
    <xf borderId="0" fillId="0" fontId="3" numFmtId="0" xfId="0" applyFont="1"/>
    <xf borderId="0" fillId="6" fontId="3" numFmtId="0" xfId="0" applyFill="1" applyFont="1"/>
    <xf borderId="0" fillId="7" fontId="3" numFmtId="0" xfId="0" applyFill="1" applyFont="1"/>
    <xf borderId="0" fillId="5" fontId="5" numFmtId="0" xfId="0" applyFill="1" applyFont="1"/>
    <xf borderId="0" fillId="0" fontId="5" numFmtId="0" xfId="0" applyAlignment="1" applyFont="1">
      <alignment horizontal="center"/>
    </xf>
    <xf borderId="0" fillId="7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9">
      <c r="A9" s="5" t="s">
        <v>7</v>
      </c>
      <c r="B9" s="5" t="s">
        <v>13</v>
      </c>
      <c r="C9" s="5" t="s">
        <v>14</v>
      </c>
      <c r="D9" s="5" t="s">
        <v>16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  <c r="L9" s="5" t="s">
        <v>25</v>
      </c>
      <c r="M9" s="5" t="s">
        <v>27</v>
      </c>
      <c r="N9" s="5" t="s">
        <v>25</v>
      </c>
    </row>
    <row r="10">
      <c r="A10" s="5">
        <v>101.0</v>
      </c>
      <c r="B10" s="5" t="s">
        <v>28</v>
      </c>
      <c r="C10" s="5">
        <v>99.0</v>
      </c>
      <c r="D10" s="5">
        <v>99.0</v>
      </c>
      <c r="E10" s="5">
        <v>99.0</v>
      </c>
      <c r="F10" s="5">
        <v>99.0</v>
      </c>
      <c r="G10" s="5">
        <v>75.0</v>
      </c>
      <c r="H10" s="8">
        <f t="shared" ref="H10:H11" si="1">sum(C10:G10)</f>
        <v>471</v>
      </c>
      <c r="I10" s="8">
        <f t="shared" ref="I10:I12" si="2">MAX(C10:G10)</f>
        <v>99</v>
      </c>
      <c r="J10" s="8">
        <f t="shared" ref="J10:J12" si="3">AVERAGE(C10:G10)</f>
        <v>94.2</v>
      </c>
      <c r="K10" s="8">
        <f>MIN(C10:G10)</f>
        <v>75</v>
      </c>
      <c r="L10" s="8" t="str">
        <f>IF(J10&lt;45,"fail","pass")</f>
        <v>pass</v>
      </c>
      <c r="M10" s="8" t="str">
        <f>IF(J10&gt;=90,"A",IF(J10&gt;=80,"B",IF(J10&gt;=70, "C","D")))</f>
        <v>A</v>
      </c>
      <c r="N10" s="8" t="str">
        <f t="shared" ref="N10:N11" si="4">IF(AND(C10&gt;40,D10&gt;40,E10&gt;40,F10&gt;40,G10&gt;40),"pass","fail")</f>
        <v>pass</v>
      </c>
    </row>
    <row r="11">
      <c r="A11" s="5">
        <v>102.0</v>
      </c>
      <c r="B11" s="5" t="s">
        <v>52</v>
      </c>
      <c r="C11" s="5">
        <v>100.0</v>
      </c>
      <c r="D11" s="5">
        <v>89.0</v>
      </c>
      <c r="E11" s="5">
        <v>56.0</v>
      </c>
      <c r="F11" s="5">
        <v>45.0</v>
      </c>
      <c r="G11" s="5">
        <v>100.0</v>
      </c>
      <c r="H11" s="8">
        <f t="shared" si="1"/>
        <v>390</v>
      </c>
      <c r="I11" s="8">
        <f t="shared" si="2"/>
        <v>100</v>
      </c>
      <c r="J11" s="8">
        <f t="shared" si="3"/>
        <v>78</v>
      </c>
      <c r="K11" s="8">
        <f t="shared" ref="K11:K12" si="5">MIN(C11:H11)</f>
        <v>45</v>
      </c>
      <c r="L11" s="8" t="str">
        <f t="shared" ref="L11:L12" si="6">if(J11&lt;40,"fail","pass")</f>
        <v>pass</v>
      </c>
      <c r="M11" s="8" t="str">
        <f>IF(J11&gt;=90,"A",if(J11&gt;=80,"B",if(J11&gt;=70,"C","D")))</f>
        <v>C</v>
      </c>
      <c r="N11" s="8" t="str">
        <f t="shared" si="4"/>
        <v>pass</v>
      </c>
    </row>
    <row r="12">
      <c r="A12" s="5">
        <v>103.0</v>
      </c>
      <c r="B12" s="5" t="s">
        <v>71</v>
      </c>
      <c r="C12" s="5">
        <v>30.0</v>
      </c>
      <c r="D12" s="5">
        <v>20.0</v>
      </c>
      <c r="E12" s="5">
        <v>10.0</v>
      </c>
      <c r="F12" s="5">
        <v>54.0</v>
      </c>
      <c r="G12" s="5">
        <v>57.0</v>
      </c>
      <c r="H12" s="8">
        <f>SUM(C12:G12)</f>
        <v>171</v>
      </c>
      <c r="I12" s="8">
        <f t="shared" si="2"/>
        <v>57</v>
      </c>
      <c r="J12" s="8">
        <f t="shared" si="3"/>
        <v>34.2</v>
      </c>
      <c r="K12" s="8">
        <f t="shared" si="5"/>
        <v>10</v>
      </c>
      <c r="L12" s="8" t="str">
        <f t="shared" si="6"/>
        <v>fail</v>
      </c>
      <c r="M12" s="8" t="str">
        <f>IF(J12&gt;=90,"A",if(J12&gt;=80,"B",if(J12&gt;=70,"C",if(J12&gt;=60,"D",if(J12&gt;=50,"E",if(J12&lt;50,"F"))))))</f>
        <v>F</v>
      </c>
      <c r="N12" s="8" t="str">
        <f>IF(AND(C12&gt;=40,D12&gt;=40,E12&gt;=40,F12&gt;=40,G12&gt;=40),"pass","fail")</f>
        <v>fail</v>
      </c>
    </row>
    <row r="16">
      <c r="G16" s="5"/>
    </row>
  </sheetData>
  <mergeCells count="1">
    <mergeCell ref="A1:N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5.0"/>
  </cols>
  <sheetData>
    <row r="1">
      <c r="A1" s="4" t="s">
        <v>2</v>
      </c>
    </row>
    <row r="9">
      <c r="A9" s="7" t="s">
        <v>26</v>
      </c>
      <c r="B9" s="7" t="s">
        <v>32</v>
      </c>
      <c r="C9" s="7" t="s">
        <v>33</v>
      </c>
      <c r="D9" s="7" t="s">
        <v>34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37</v>
      </c>
      <c r="J9" s="9" t="s">
        <v>37</v>
      </c>
    </row>
    <row r="10">
      <c r="A10" s="5">
        <v>101.0</v>
      </c>
      <c r="B10" s="5">
        <v>200.0</v>
      </c>
      <c r="C10" s="5">
        <v>5.0</v>
      </c>
      <c r="D10" s="5" t="s">
        <v>42</v>
      </c>
      <c r="E10" s="5" t="s">
        <v>44</v>
      </c>
      <c r="F10" s="8">
        <f t="shared" ref="F10:F12" si="1">B10*C10</f>
        <v>1000</v>
      </c>
      <c r="G10" s="8">
        <f t="shared" ref="G10:G12" si="2">F10*5/100</f>
        <v>50</v>
      </c>
      <c r="H10" s="8">
        <f t="shared" ref="H10:H12" si="3">F10-G10</f>
        <v>950</v>
      </c>
      <c r="I10" s="8">
        <f t="shared" ref="I10:I12" si="4">IF(F10&lt;=500,F10*5/100,F10*10/100)</f>
        <v>100</v>
      </c>
      <c r="J10" s="13">
        <f t="shared" ref="J10:J12" si="5">IF(E10="student",5%,if(E11="teacher",10%,if(E12="staff",15%,0%)))</f>
        <v>0.05</v>
      </c>
      <c r="K10" s="5" t="s">
        <v>53</v>
      </c>
    </row>
    <row r="11">
      <c r="A11" s="5">
        <v>102.0</v>
      </c>
      <c r="B11" s="5">
        <v>400.0</v>
      </c>
      <c r="C11" s="5">
        <v>4.0</v>
      </c>
      <c r="D11" s="5" t="s">
        <v>54</v>
      </c>
      <c r="E11" s="5" t="s">
        <v>55</v>
      </c>
      <c r="F11" s="8">
        <f t="shared" si="1"/>
        <v>1600</v>
      </c>
      <c r="G11" s="8">
        <f t="shared" si="2"/>
        <v>80</v>
      </c>
      <c r="H11" s="8">
        <f t="shared" si="3"/>
        <v>1520</v>
      </c>
      <c r="I11" s="8">
        <f t="shared" si="4"/>
        <v>160</v>
      </c>
      <c r="J11" s="13">
        <f t="shared" si="5"/>
        <v>0</v>
      </c>
    </row>
    <row r="12">
      <c r="A12" s="5">
        <v>103.0</v>
      </c>
      <c r="B12" s="5">
        <v>5.0</v>
      </c>
      <c r="C12" s="5">
        <v>100.0</v>
      </c>
      <c r="D12" s="5" t="s">
        <v>56</v>
      </c>
      <c r="E12" s="5" t="s">
        <v>57</v>
      </c>
      <c r="F12" s="8">
        <f t="shared" si="1"/>
        <v>500</v>
      </c>
      <c r="G12" s="8">
        <f t="shared" si="2"/>
        <v>25</v>
      </c>
      <c r="H12" s="8">
        <f t="shared" si="3"/>
        <v>475</v>
      </c>
      <c r="I12" s="8">
        <f t="shared" si="4"/>
        <v>25</v>
      </c>
      <c r="J12" s="13">
        <f t="shared" si="5"/>
        <v>0</v>
      </c>
    </row>
    <row r="14">
      <c r="J14" s="5" t="s">
        <v>60</v>
      </c>
    </row>
  </sheetData>
  <mergeCells count="1">
    <mergeCell ref="A1:Q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7.63"/>
    <col customWidth="1" min="6" max="6" width="40.63"/>
    <col customWidth="1" min="7" max="7" width="49.38"/>
    <col customWidth="1" min="8" max="8" width="15.25"/>
    <col customWidth="1" min="9" max="9" width="38.5"/>
    <col customWidth="1" min="10" max="10" width="40.88"/>
    <col customWidth="1" min="11" max="11" width="40.13"/>
  </cols>
  <sheetData>
    <row r="1">
      <c r="A1" s="1" t="s">
        <v>0</v>
      </c>
    </row>
    <row r="9">
      <c r="A9" s="3" t="s">
        <v>3</v>
      </c>
      <c r="B9" s="3" t="s">
        <v>4</v>
      </c>
      <c r="C9" s="3" t="s">
        <v>5</v>
      </c>
      <c r="D9" s="3"/>
      <c r="E9" s="3" t="s">
        <v>6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</row>
    <row r="10">
      <c r="A10" s="5">
        <v>101.0</v>
      </c>
      <c r="B10" s="5" t="s">
        <v>17</v>
      </c>
      <c r="C10" s="5">
        <v>2000.0</v>
      </c>
      <c r="E10" s="8">
        <f>C10*10%</f>
        <v>200</v>
      </c>
      <c r="F10" s="8">
        <f>C10*12%</f>
        <v>240</v>
      </c>
      <c r="G10" s="8">
        <f>C10*15%</f>
        <v>300</v>
      </c>
      <c r="H10" s="8">
        <f>C10*20%</f>
        <v>400</v>
      </c>
      <c r="I10" s="8">
        <f>C10+E10+F10+G10</f>
        <v>2740</v>
      </c>
      <c r="J10" s="8">
        <f>I10-H10</f>
        <v>2340</v>
      </c>
    </row>
    <row r="14">
      <c r="A14" s="1" t="s">
        <v>45</v>
      </c>
    </row>
    <row r="22">
      <c r="A22" s="3" t="s">
        <v>3</v>
      </c>
      <c r="B22" s="3" t="s">
        <v>4</v>
      </c>
      <c r="C22" s="3" t="s">
        <v>5</v>
      </c>
      <c r="D22" s="3" t="s">
        <v>46</v>
      </c>
      <c r="E22" s="3" t="s">
        <v>47</v>
      </c>
      <c r="F22" s="3" t="s">
        <v>48</v>
      </c>
      <c r="G22" s="3" t="s">
        <v>49</v>
      </c>
      <c r="H22" s="3" t="s">
        <v>10</v>
      </c>
      <c r="I22" s="3" t="s">
        <v>11</v>
      </c>
      <c r="J22" s="3" t="s">
        <v>12</v>
      </c>
    </row>
    <row r="23">
      <c r="A23" s="5">
        <v>201.0</v>
      </c>
      <c r="B23" s="5" t="s">
        <v>50</v>
      </c>
      <c r="C23" s="5">
        <v>3000.0</v>
      </c>
      <c r="D23" s="5" t="s">
        <v>51</v>
      </c>
      <c r="E23" s="8">
        <f t="shared" ref="E23:E25" si="1">IF(C23&lt;=5000, C23*5%,C23*10%) </f>
        <v>150</v>
      </c>
      <c r="F23" s="8">
        <f t="shared" ref="F23:F25" si="2">IF(D23="Metro", C23*5%, C23*10%)</f>
        <v>150</v>
      </c>
      <c r="G23" s="14">
        <f t="shared" ref="G23:G25" si="3">IF(C23&lt;=5000, 500, C23*12%)</f>
        <v>500</v>
      </c>
      <c r="H23" s="8">
        <f t="shared" ref="H23:H25" si="4">C23*20%</f>
        <v>600</v>
      </c>
      <c r="I23" s="8">
        <f t="shared" ref="I23:I25" si="5">sum(C23+E23+F23+G23)</f>
        <v>3800</v>
      </c>
      <c r="J23" s="8">
        <f t="shared" ref="J23:J25" si="6">I23-H23</f>
        <v>3200</v>
      </c>
    </row>
    <row r="24">
      <c r="A24" s="5">
        <v>202.0</v>
      </c>
      <c r="B24" s="5" t="s">
        <v>79</v>
      </c>
      <c r="C24" s="5">
        <v>6000.0</v>
      </c>
      <c r="D24" s="5" t="s">
        <v>80</v>
      </c>
      <c r="E24" s="8">
        <f t="shared" si="1"/>
        <v>600</v>
      </c>
      <c r="F24" s="8">
        <f t="shared" si="2"/>
        <v>600</v>
      </c>
      <c r="G24" s="14">
        <f t="shared" si="3"/>
        <v>720</v>
      </c>
      <c r="H24" s="8">
        <f t="shared" si="4"/>
        <v>1200</v>
      </c>
      <c r="I24" s="8">
        <f t="shared" si="5"/>
        <v>7920</v>
      </c>
      <c r="J24" s="8">
        <f t="shared" si="6"/>
        <v>6720</v>
      </c>
    </row>
    <row r="25">
      <c r="A25" s="5">
        <v>203.0</v>
      </c>
      <c r="B25" s="5" t="s">
        <v>81</v>
      </c>
      <c r="C25" s="5">
        <v>7000.0</v>
      </c>
      <c r="D25" s="5" t="s">
        <v>80</v>
      </c>
      <c r="E25" s="8">
        <f t="shared" si="1"/>
        <v>700</v>
      </c>
      <c r="F25" s="8">
        <f t="shared" si="2"/>
        <v>700</v>
      </c>
      <c r="G25" s="14">
        <f t="shared" si="3"/>
        <v>840</v>
      </c>
      <c r="H25" s="8">
        <f t="shared" si="4"/>
        <v>1400</v>
      </c>
      <c r="I25" s="8">
        <f t="shared" si="5"/>
        <v>9240</v>
      </c>
      <c r="J25" s="8">
        <f t="shared" si="6"/>
        <v>7840</v>
      </c>
    </row>
    <row r="33">
      <c r="A33" s="1" t="s">
        <v>83</v>
      </c>
    </row>
    <row r="41">
      <c r="A41" s="3" t="s">
        <v>3</v>
      </c>
      <c r="B41" s="3" t="s">
        <v>4</v>
      </c>
      <c r="C41" s="3" t="s">
        <v>5</v>
      </c>
      <c r="D41" s="3" t="s">
        <v>84</v>
      </c>
      <c r="E41" s="3" t="s">
        <v>85</v>
      </c>
      <c r="F41" s="3" t="s">
        <v>8</v>
      </c>
      <c r="G41" s="3" t="s">
        <v>9</v>
      </c>
      <c r="H41" s="3" t="s">
        <v>10</v>
      </c>
      <c r="I41" s="3" t="s">
        <v>11</v>
      </c>
      <c r="J41" s="3" t="s">
        <v>86</v>
      </c>
      <c r="K41" s="3" t="s">
        <v>12</v>
      </c>
    </row>
    <row r="42">
      <c r="A42" s="5">
        <v>301.0</v>
      </c>
      <c r="B42" s="5" t="s">
        <v>81</v>
      </c>
      <c r="C42" s="5">
        <v>2000.0</v>
      </c>
      <c r="D42" s="8">
        <f t="shared" ref="D42:D43" si="7">C42*10%</f>
        <v>200</v>
      </c>
      <c r="E42" s="5">
        <v>5.0</v>
      </c>
      <c r="F42" s="8">
        <f t="shared" ref="F42:F43" si="8">C42*12%</f>
        <v>240</v>
      </c>
      <c r="G42" s="8">
        <f t="shared" ref="G42:G43" si="9">C42*15%</f>
        <v>300</v>
      </c>
      <c r="H42" s="8">
        <f t="shared" ref="H42:H43" si="10">C42*20%</f>
        <v>400</v>
      </c>
      <c r="I42" s="8">
        <f t="shared" ref="I42:I43" si="11">SUM(C42,D42,F42,G42)</f>
        <v>2740</v>
      </c>
      <c r="J42" s="8">
        <f t="shared" ref="J42:J43" si="12">I42/30*E42</f>
        <v>456.6666667</v>
      </c>
      <c r="K42" s="8">
        <f t="shared" ref="K42:K43" si="13">I42-(H42+J42)</f>
        <v>1883.333333</v>
      </c>
    </row>
    <row r="43">
      <c r="A43" s="5">
        <v>302.0</v>
      </c>
      <c r="B43" s="5" t="s">
        <v>87</v>
      </c>
      <c r="C43" s="5">
        <v>4000.0</v>
      </c>
      <c r="D43" s="8">
        <f t="shared" si="7"/>
        <v>400</v>
      </c>
      <c r="E43" s="5">
        <v>5.0</v>
      </c>
      <c r="F43" s="8">
        <f t="shared" si="8"/>
        <v>480</v>
      </c>
      <c r="G43" s="8">
        <f t="shared" si="9"/>
        <v>600</v>
      </c>
      <c r="H43" s="8">
        <f t="shared" si="10"/>
        <v>800</v>
      </c>
      <c r="I43" s="8">
        <f t="shared" si="11"/>
        <v>5480</v>
      </c>
      <c r="J43" s="8">
        <f t="shared" si="12"/>
        <v>913.3333333</v>
      </c>
      <c r="K43" s="8">
        <f t="shared" si="13"/>
        <v>3766.666667</v>
      </c>
    </row>
  </sheetData>
  <mergeCells count="3">
    <mergeCell ref="A1:Q7"/>
    <mergeCell ref="A14:Q20"/>
    <mergeCell ref="A33:Q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</v>
      </c>
      <c r="E1" s="6" t="s">
        <v>29</v>
      </c>
      <c r="K1" s="6" t="s">
        <v>30</v>
      </c>
    </row>
    <row r="2">
      <c r="A2" s="5" t="s">
        <v>31</v>
      </c>
      <c r="E2" s="5">
        <v>2000.0</v>
      </c>
      <c r="K2" s="5">
        <v>60.0</v>
      </c>
    </row>
    <row r="3">
      <c r="A3" s="5">
        <v>200.0</v>
      </c>
      <c r="E3" s="5">
        <v>4000.0</v>
      </c>
      <c r="H3" s="5" t="s">
        <v>39</v>
      </c>
      <c r="K3" s="5">
        <v>50.0</v>
      </c>
    </row>
    <row r="4">
      <c r="A4" s="5" t="s">
        <v>40</v>
      </c>
      <c r="E4" s="5">
        <v>60000.0</v>
      </c>
      <c r="H4" s="5" t="s">
        <v>41</v>
      </c>
      <c r="K4" s="5">
        <v>70.0</v>
      </c>
    </row>
    <row r="5">
      <c r="A5" s="5">
        <v>400.0</v>
      </c>
      <c r="E5" s="5">
        <v>10000.0</v>
      </c>
      <c r="K5" s="5">
        <v>20.0</v>
      </c>
    </row>
    <row r="6">
      <c r="A6" s="5" t="s">
        <v>43</v>
      </c>
      <c r="E6" s="5">
        <v>7000.0</v>
      </c>
      <c r="K6" s="5">
        <v>40.0</v>
      </c>
    </row>
    <row r="7">
      <c r="A7" s="5">
        <v>600.0</v>
      </c>
      <c r="E7" s="5">
        <v>9000.0</v>
      </c>
      <c r="K7" s="5">
        <v>10.0</v>
      </c>
    </row>
    <row r="8">
      <c r="A8" s="10"/>
      <c r="K8" s="5">
        <v>70.0</v>
      </c>
    </row>
    <row r="9">
      <c r="A9" s="11">
        <f>COUNT(A2:A7)</f>
        <v>3</v>
      </c>
      <c r="E9" s="12">
        <f>COUNTIF(E2:E7,"&gt;4000")</f>
        <v>4</v>
      </c>
      <c r="K9" s="11">
        <f>COUNTIF(K2:K8,"&lt;40")</f>
        <v>2</v>
      </c>
    </row>
    <row r="10">
      <c r="A10" s="11">
        <f>counta(A2:A7)</f>
        <v>6</v>
      </c>
      <c r="K10" s="8">
        <f>COUNTIF(K2:K8,"&gt;40")</f>
        <v>4</v>
      </c>
    </row>
    <row r="11">
      <c r="A11" s="5" t="s">
        <v>58</v>
      </c>
    </row>
    <row r="12">
      <c r="A12" s="5" t="s">
        <v>59</v>
      </c>
    </row>
    <row r="15">
      <c r="E15" s="5" t="s">
        <v>61</v>
      </c>
      <c r="H15" s="5" t="s">
        <v>62</v>
      </c>
      <c r="I15" s="5" t="s">
        <v>63</v>
      </c>
      <c r="K15" s="6" t="s">
        <v>64</v>
      </c>
      <c r="L15" s="6" t="s">
        <v>65</v>
      </c>
      <c r="M15" s="6" t="s">
        <v>66</v>
      </c>
    </row>
    <row r="16">
      <c r="E16" s="5" t="s">
        <v>67</v>
      </c>
      <c r="H16" s="5">
        <v>20.0</v>
      </c>
      <c r="I16" s="5" t="s">
        <v>68</v>
      </c>
      <c r="K16" s="5" t="s">
        <v>69</v>
      </c>
      <c r="L16" s="5">
        <v>2.0</v>
      </c>
      <c r="M16" s="5" t="s">
        <v>70</v>
      </c>
    </row>
    <row r="17">
      <c r="E17" s="5" t="s">
        <v>67</v>
      </c>
      <c r="H17" s="5">
        <v>15.0</v>
      </c>
      <c r="I17" s="5" t="s">
        <v>72</v>
      </c>
      <c r="K17" s="5" t="s">
        <v>73</v>
      </c>
      <c r="L17" s="5">
        <v>3.0</v>
      </c>
      <c r="M17" s="5" t="s">
        <v>74</v>
      </c>
    </row>
    <row r="18">
      <c r="E18" s="5" t="s">
        <v>75</v>
      </c>
      <c r="H18" s="5">
        <v>16.0</v>
      </c>
      <c r="I18" s="5" t="s">
        <v>68</v>
      </c>
      <c r="K18" s="5" t="s">
        <v>76</v>
      </c>
      <c r="L18" s="5">
        <v>4.0</v>
      </c>
      <c r="M18" s="5" t="s">
        <v>77</v>
      </c>
    </row>
    <row r="19">
      <c r="E19" s="5" t="s">
        <v>67</v>
      </c>
      <c r="H19" s="5">
        <v>22.0</v>
      </c>
      <c r="I19" s="5" t="s">
        <v>72</v>
      </c>
      <c r="K19" s="5" t="s">
        <v>69</v>
      </c>
      <c r="L19" s="5">
        <v>4.0</v>
      </c>
      <c r="M19" s="5" t="s">
        <v>78</v>
      </c>
    </row>
    <row r="20">
      <c r="E20" s="5" t="s">
        <v>75</v>
      </c>
      <c r="H20" s="5">
        <v>18.0</v>
      </c>
      <c r="I20" s="5" t="s">
        <v>68</v>
      </c>
    </row>
    <row r="21">
      <c r="E21" s="5" t="s">
        <v>75</v>
      </c>
      <c r="H21" s="5">
        <v>24.0</v>
      </c>
      <c r="I21" s="5" t="s">
        <v>68</v>
      </c>
      <c r="K21" s="15">
        <f>COUNTIFS(K16:K19, "ADMIN", L16:L19,"&gt;=4")</f>
        <v>1</v>
      </c>
    </row>
    <row r="22">
      <c r="E22" s="5" t="s">
        <v>75</v>
      </c>
      <c r="H22" s="5">
        <v>30.0</v>
      </c>
      <c r="I22" s="5" t="s">
        <v>72</v>
      </c>
    </row>
    <row r="23">
      <c r="E23" s="5" t="s">
        <v>75</v>
      </c>
      <c r="K23" s="5" t="s">
        <v>82</v>
      </c>
    </row>
    <row r="24">
      <c r="E24" s="5" t="s">
        <v>75</v>
      </c>
    </row>
    <row r="25">
      <c r="E25" s="5" t="s">
        <v>67</v>
      </c>
      <c r="H25" s="15">
        <f>COUNTIFS(I16:I22,"F",H16:H22,"&gt;15")</f>
        <v>4</v>
      </c>
    </row>
    <row r="26">
      <c r="E26" s="5" t="s">
        <v>67</v>
      </c>
      <c r="H26" s="15">
        <f>COUNTIFS(I16:I22,"M",H16:H22,"&lt;30")</f>
        <v>2</v>
      </c>
    </row>
    <row r="28">
      <c r="E28" s="15">
        <f>COUNTIF(E16:E26,"p")</f>
        <v>5</v>
      </c>
    </row>
    <row r="29">
      <c r="E29" s="15">
        <f>COUNTIF(E16:E26,"A")</f>
        <v>6</v>
      </c>
    </row>
  </sheetData>
  <drawing r:id="rId1"/>
</worksheet>
</file>